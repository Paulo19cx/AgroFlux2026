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"/>
    </mc:Choice>
  </mc:AlternateContent>
  <xr:revisionPtr revIDLastSave="0" documentId="13_ncr:1_{C8E77748-7F4F-411D-881F-30118CCA8AC9}" xr6:coauthVersionLast="36" xr6:coauthVersionMax="36" xr10:uidLastSave="{00000000-0000-0000-0000-000000000000}"/>
  <bookViews>
    <workbookView xWindow="0" yWindow="0" windowWidth="23040" windowHeight="8940" xr2:uid="{DB42DB59-C03E-4685-9717-9A41DF19113F}"/>
  </bookViews>
  <sheets>
    <sheet name="Custo de projeto completo " sheetId="1" r:id="rId1"/>
    <sheet name="Custo de manutençã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8" i="2" s="1"/>
  <c r="D14" i="1"/>
  <c r="F7" i="1"/>
  <c r="F6" i="1"/>
  <c r="F5" i="1"/>
  <c r="F4" i="1"/>
  <c r="B28" i="1"/>
  <c r="D20" i="1"/>
  <c r="B33" i="1" l="1"/>
  <c r="B32" i="1"/>
  <c r="C21" i="2" l="1"/>
  <c r="B30" i="2"/>
  <c r="B29" i="2"/>
  <c r="C23" i="2"/>
  <c r="C22" i="2"/>
  <c r="C17" i="2"/>
  <c r="C16" i="2"/>
  <c r="C15" i="2"/>
  <c r="C14" i="2"/>
  <c r="C13" i="2"/>
  <c r="B28" i="2"/>
  <c r="B31" i="2" s="1"/>
  <c r="D19" i="1"/>
  <c r="D18" i="1"/>
  <c r="D17" i="1"/>
  <c r="D16" i="1"/>
  <c r="D15" i="1"/>
  <c r="F8" i="1"/>
  <c r="F9" i="1" l="1"/>
  <c r="B31" i="1" s="1"/>
  <c r="C24" i="2"/>
  <c r="B34" i="1" l="1"/>
</calcChain>
</file>

<file path=xl/sharedStrings.xml><?xml version="1.0" encoding="utf-8"?>
<sst xmlns="http://schemas.openxmlformats.org/spreadsheetml/2006/main" count="73" uniqueCount="53">
  <si>
    <t>CUSTOS DE DESENVOLVIMENTO</t>
  </si>
  <si>
    <t>1. Equipe do Projeto (6 meses)</t>
  </si>
  <si>
    <t>Cargo</t>
  </si>
  <si>
    <t>Quantidade</t>
  </si>
  <si>
    <t>Horas/Mês</t>
  </si>
  <si>
    <t>Total meses</t>
  </si>
  <si>
    <t xml:space="preserve">Valor Hora </t>
  </si>
  <si>
    <t xml:space="preserve">Custo Total </t>
  </si>
  <si>
    <t xml:space="preserve">TOTAL </t>
  </si>
  <si>
    <r>
      <t xml:space="preserve"> </t>
    </r>
    <r>
      <rPr>
        <b/>
        <sz val="11"/>
        <color theme="1"/>
        <rFont val="Calibri"/>
        <family val="2"/>
        <scheme val="minor"/>
      </rPr>
      <t>VALOR TOTAL</t>
    </r>
    <r>
      <rPr>
        <sz val="11"/>
        <color theme="1"/>
        <rFont val="Calibri"/>
        <family val="2"/>
        <scheme val="minor"/>
      </rPr>
      <t xml:space="preserve"> </t>
    </r>
  </si>
  <si>
    <t>2. Custos de Infraestrutura (6 meses)</t>
  </si>
  <si>
    <t>Item</t>
  </si>
  <si>
    <t>Custo Mensal</t>
  </si>
  <si>
    <t>Meses</t>
  </si>
  <si>
    <t>Custo Total</t>
  </si>
  <si>
    <t>Aluguel</t>
  </si>
  <si>
    <t>Energia elétrica</t>
  </si>
  <si>
    <t>Internet</t>
  </si>
  <si>
    <t>Serviços em nuvem</t>
  </si>
  <si>
    <t>Licenças de software</t>
  </si>
  <si>
    <t>Água - galão</t>
  </si>
  <si>
    <t>Gerente de Projetos - PLENO</t>
  </si>
  <si>
    <t>Analista de Qualidade (QA) - PLENO</t>
  </si>
  <si>
    <t>Valor</t>
  </si>
  <si>
    <t>Contabilidade</t>
  </si>
  <si>
    <t>Limpeza</t>
  </si>
  <si>
    <t>Manutenção predial</t>
  </si>
  <si>
    <t>Impostos e encargos</t>
  </si>
  <si>
    <t>3. Custos Indiretos  (6 meses)</t>
  </si>
  <si>
    <t xml:space="preserve">VALOR TOTAL </t>
  </si>
  <si>
    <t>VALOR TOTAL</t>
  </si>
  <si>
    <t xml:space="preserve">CUSTO TOTAL PROJETO 6 MESES </t>
  </si>
  <si>
    <t>CUSTO DESENVOLVIMENTO</t>
  </si>
  <si>
    <t>CUSTO INFRAESTRUTURA</t>
  </si>
  <si>
    <t xml:space="preserve">CUSTO INDIRETO </t>
  </si>
  <si>
    <t xml:space="preserve">CUSTO TOTAL </t>
  </si>
  <si>
    <t>Custos de Manutenção e Operação do Sistema (12 meses)</t>
  </si>
  <si>
    <t>1. Mão de Obra de Manutenção</t>
  </si>
  <si>
    <t xml:space="preserve">Custo Mensal </t>
  </si>
  <si>
    <t>Custo Anual</t>
  </si>
  <si>
    <t>2. Custos de Infraestrutura</t>
  </si>
  <si>
    <t>TOTAL</t>
  </si>
  <si>
    <t>3. Custos Indiretos</t>
  </si>
  <si>
    <t>Manutenção de equipamentos</t>
  </si>
  <si>
    <t xml:space="preserve">CUSTO TOTAL MANUTENÇÃO </t>
  </si>
  <si>
    <t xml:space="preserve">CUSTO OPERAÇÃO </t>
  </si>
  <si>
    <t xml:space="preserve">CUSTO INFRA </t>
  </si>
  <si>
    <t xml:space="preserve">CUSTOS TOTAIS DE MANUTENÇÃO </t>
  </si>
  <si>
    <t>Desenvolvedor Back-end - SÊNIOR</t>
  </si>
  <si>
    <t>Analista de Sistemas - SÊNIOR</t>
  </si>
  <si>
    <t>Desenvolvedor Front-end - SÊNIOR</t>
  </si>
  <si>
    <t>Valor hora</t>
  </si>
  <si>
    <t>Desenvolvedor Front-end  - SÊNIOR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</si>
</sst>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1E4FD"/>
        <bgColor indexed="64"/>
      </patternFill>
    </fill>
    <fill>
      <patternFill patternType="solid">
        <fgColor rgb="FF47D1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9307"/>
        <bgColor indexed="64"/>
      </patternFill>
    </fill>
    <fill>
      <patternFill patternType="solid">
        <fgColor rgb="FF75E85E"/>
        <bgColor indexed="64"/>
      </patternFill>
    </fill>
    <fill>
      <patternFill patternType="solid">
        <fgColor rgb="FFF4FBB3"/>
        <bgColor indexed="64"/>
      </patternFill>
    </fill>
    <fill>
      <patternFill patternType="solid">
        <fgColor rgb="FFCDE6FD"/>
        <bgColor indexed="64"/>
      </patternFill>
    </fill>
    <fill>
      <patternFill patternType="solid">
        <fgColor rgb="FFB6F9AD"/>
        <bgColor indexed="64"/>
      </patternFill>
    </fill>
    <fill>
      <patternFill patternType="solid">
        <fgColor rgb="FF93E1E3"/>
        <bgColor indexed="64"/>
      </patternFill>
    </fill>
    <fill>
      <patternFill patternType="solid">
        <fgColor rgb="FF6EC46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44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44" fontId="0" fillId="4" borderId="1" xfId="0" applyNumberForma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44" fontId="0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44" fontId="0" fillId="4" borderId="1" xfId="1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2F4B4"/>
      <color rgb="FFF4FBB3"/>
      <color rgb="FF6EC46E"/>
      <color rgb="FF93E1E3"/>
      <color rgb="FFB6F9AD"/>
      <color rgb="FFCDE6FD"/>
      <color rgb="FF75E85E"/>
      <color rgb="FF1B9307"/>
      <color rgb="FFFCFAA0"/>
      <color rgb="FFB1E4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B524-94DC-4F52-809E-05C4A77B8B1E}">
  <dimension ref="A1:F34"/>
  <sheetViews>
    <sheetView tabSelected="1" zoomScaleNormal="100" workbookViewId="0">
      <selection activeCell="F7" sqref="F7"/>
    </sheetView>
  </sheetViews>
  <sheetFormatPr defaultRowHeight="14.4" x14ac:dyDescent="0.3"/>
  <cols>
    <col min="1" max="1" width="30.6640625" customWidth="1"/>
    <col min="2" max="2" width="14.109375" customWidth="1"/>
    <col min="3" max="3" width="16.77734375" customWidth="1"/>
    <col min="4" max="4" width="15.5546875" customWidth="1"/>
    <col min="5" max="5" width="13" customWidth="1"/>
    <col min="6" max="6" width="35.6640625" customWidth="1"/>
  </cols>
  <sheetData>
    <row r="1" spans="1:6" x14ac:dyDescent="0.3">
      <c r="A1" s="17" t="s">
        <v>0</v>
      </c>
      <c r="B1" s="17"/>
      <c r="C1" s="17"/>
      <c r="D1" s="17"/>
      <c r="E1" s="17"/>
      <c r="F1" s="17"/>
    </row>
    <row r="2" spans="1:6" x14ac:dyDescent="0.3">
      <c r="A2" s="18" t="s">
        <v>1</v>
      </c>
      <c r="B2" s="19"/>
      <c r="C2" s="19"/>
      <c r="D2" s="19"/>
      <c r="E2" s="19"/>
      <c r="F2" s="20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21</v>
      </c>
      <c r="B4" s="2">
        <v>1</v>
      </c>
      <c r="C4" s="2">
        <v>220</v>
      </c>
      <c r="D4" s="2">
        <v>6</v>
      </c>
      <c r="E4" s="3">
        <v>35</v>
      </c>
      <c r="F4" s="3">
        <f>C4*D4*E4</f>
        <v>46200</v>
      </c>
    </row>
    <row r="5" spans="1:6" x14ac:dyDescent="0.3">
      <c r="A5" s="2" t="s">
        <v>49</v>
      </c>
      <c r="B5" s="2">
        <v>1</v>
      </c>
      <c r="C5" s="2">
        <v>220</v>
      </c>
      <c r="D5" s="2">
        <v>6</v>
      </c>
      <c r="E5" s="3">
        <v>41.66</v>
      </c>
      <c r="F5" s="3">
        <f>C5*D5*E5</f>
        <v>54991.199999999997</v>
      </c>
    </row>
    <row r="6" spans="1:6" x14ac:dyDescent="0.3">
      <c r="A6" s="2" t="s">
        <v>48</v>
      </c>
      <c r="B6" s="2">
        <v>2</v>
      </c>
      <c r="C6" s="2">
        <v>200</v>
      </c>
      <c r="D6" s="2">
        <v>6</v>
      </c>
      <c r="E6" s="3">
        <v>45</v>
      </c>
      <c r="F6" s="3">
        <f>C6*D6*E6*B6</f>
        <v>108000</v>
      </c>
    </row>
    <row r="7" spans="1:6" x14ac:dyDescent="0.3">
      <c r="A7" s="2" t="s">
        <v>50</v>
      </c>
      <c r="B7" s="2">
        <v>2</v>
      </c>
      <c r="C7" s="2">
        <v>200</v>
      </c>
      <c r="D7" s="2">
        <v>6</v>
      </c>
      <c r="E7" s="3">
        <v>60</v>
      </c>
      <c r="F7" s="3">
        <f>C7*D7*E7*B7</f>
        <v>144000</v>
      </c>
    </row>
    <row r="8" spans="1:6" x14ac:dyDescent="0.3">
      <c r="A8" s="2" t="s">
        <v>22</v>
      </c>
      <c r="B8" s="2">
        <v>1</v>
      </c>
      <c r="C8" s="2">
        <v>200</v>
      </c>
      <c r="D8" s="2">
        <v>6</v>
      </c>
      <c r="E8" s="3">
        <v>25</v>
      </c>
      <c r="F8" s="3">
        <f t="shared" ref="F6:F8" si="0">C8*D8*E8</f>
        <v>30000</v>
      </c>
    </row>
    <row r="9" spans="1:6" x14ac:dyDescent="0.3">
      <c r="A9" s="21" t="s">
        <v>9</v>
      </c>
      <c r="B9" s="21"/>
      <c r="C9" s="21"/>
      <c r="D9" s="21"/>
      <c r="E9" s="21"/>
      <c r="F9" s="4">
        <f>SUM(F4:F8)</f>
        <v>383191.2</v>
      </c>
    </row>
    <row r="12" spans="1:6" x14ac:dyDescent="0.3">
      <c r="A12" s="22" t="s">
        <v>10</v>
      </c>
      <c r="B12" s="22"/>
      <c r="C12" s="22"/>
      <c r="D12" s="22"/>
    </row>
    <row r="13" spans="1:6" x14ac:dyDescent="0.3">
      <c r="A13" s="1" t="s">
        <v>11</v>
      </c>
      <c r="B13" s="1" t="s">
        <v>12</v>
      </c>
      <c r="C13" s="1" t="s">
        <v>13</v>
      </c>
      <c r="D13" s="1" t="s">
        <v>14</v>
      </c>
    </row>
    <row r="14" spans="1:6" x14ac:dyDescent="0.3">
      <c r="A14" s="2" t="s">
        <v>15</v>
      </c>
      <c r="B14" s="3">
        <v>3000</v>
      </c>
      <c r="C14" s="2">
        <v>6</v>
      </c>
      <c r="D14" s="3">
        <f>B14*C14</f>
        <v>18000</v>
      </c>
    </row>
    <row r="15" spans="1:6" x14ac:dyDescent="0.3">
      <c r="A15" s="2" t="s">
        <v>16</v>
      </c>
      <c r="B15" s="3">
        <v>1000</v>
      </c>
      <c r="C15" s="2">
        <v>6</v>
      </c>
      <c r="D15" s="3">
        <f t="shared" ref="D14:D19" si="1">B15*C15</f>
        <v>6000</v>
      </c>
    </row>
    <row r="16" spans="1:6" x14ac:dyDescent="0.3">
      <c r="A16" s="2" t="s">
        <v>20</v>
      </c>
      <c r="B16" s="3">
        <v>1500</v>
      </c>
      <c r="C16" s="2">
        <v>6</v>
      </c>
      <c r="D16" s="3">
        <f t="shared" si="1"/>
        <v>9000</v>
      </c>
    </row>
    <row r="17" spans="1:4" x14ac:dyDescent="0.3">
      <c r="A17" s="2" t="s">
        <v>17</v>
      </c>
      <c r="B17" s="3">
        <v>400</v>
      </c>
      <c r="C17" s="2">
        <v>6</v>
      </c>
      <c r="D17" s="3">
        <f t="shared" si="1"/>
        <v>2400</v>
      </c>
    </row>
    <row r="18" spans="1:4" x14ac:dyDescent="0.3">
      <c r="A18" s="2" t="s">
        <v>18</v>
      </c>
      <c r="B18" s="3">
        <v>800</v>
      </c>
      <c r="C18" s="2">
        <v>6</v>
      </c>
      <c r="D18" s="3">
        <f t="shared" si="1"/>
        <v>4800</v>
      </c>
    </row>
    <row r="19" spans="1:4" x14ac:dyDescent="0.3">
      <c r="A19" s="2" t="s">
        <v>19</v>
      </c>
      <c r="B19" s="3">
        <v>700</v>
      </c>
      <c r="C19" s="2">
        <v>6</v>
      </c>
      <c r="D19" s="3">
        <f t="shared" si="1"/>
        <v>4200</v>
      </c>
    </row>
    <row r="20" spans="1:4" x14ac:dyDescent="0.3">
      <c r="A20" s="24" t="s">
        <v>29</v>
      </c>
      <c r="B20" s="21"/>
      <c r="C20" s="21"/>
      <c r="D20" s="4">
        <f>SUM(D14:D19)</f>
        <v>44400</v>
      </c>
    </row>
    <row r="22" spans="1:4" x14ac:dyDescent="0.3">
      <c r="A22" s="23" t="s">
        <v>28</v>
      </c>
      <c r="B22" s="23"/>
    </row>
    <row r="23" spans="1:4" x14ac:dyDescent="0.3">
      <c r="A23" s="1" t="s">
        <v>11</v>
      </c>
      <c r="B23" s="1" t="s">
        <v>23</v>
      </c>
    </row>
    <row r="24" spans="1:4" x14ac:dyDescent="0.3">
      <c r="A24" s="2" t="s">
        <v>24</v>
      </c>
      <c r="B24" s="3">
        <v>1500</v>
      </c>
    </row>
    <row r="25" spans="1:4" x14ac:dyDescent="0.3">
      <c r="A25" s="2" t="s">
        <v>25</v>
      </c>
      <c r="B25" s="3">
        <v>1200</v>
      </c>
    </row>
    <row r="26" spans="1:4" x14ac:dyDescent="0.3">
      <c r="A26" s="2" t="s">
        <v>26</v>
      </c>
      <c r="B26" s="3">
        <v>1000</v>
      </c>
    </row>
    <row r="27" spans="1:4" x14ac:dyDescent="0.3">
      <c r="A27" s="2" t="s">
        <v>27</v>
      </c>
      <c r="B27" s="3">
        <v>4800</v>
      </c>
    </row>
    <row r="28" spans="1:4" x14ac:dyDescent="0.3">
      <c r="A28" s="8" t="s">
        <v>30</v>
      </c>
      <c r="B28" s="4">
        <f>SUM(B24:B27)</f>
        <v>8500</v>
      </c>
    </row>
    <row r="30" spans="1:4" x14ac:dyDescent="0.3">
      <c r="A30" s="16" t="s">
        <v>31</v>
      </c>
      <c r="B30" s="16"/>
    </row>
    <row r="31" spans="1:4" x14ac:dyDescent="0.3">
      <c r="A31" s="11" t="s">
        <v>32</v>
      </c>
      <c r="B31" s="12">
        <f>F9</f>
        <v>383191.2</v>
      </c>
    </row>
    <row r="32" spans="1:4" x14ac:dyDescent="0.3">
      <c r="A32" s="13" t="s">
        <v>33</v>
      </c>
      <c r="B32" s="14">
        <f>D20</f>
        <v>44400</v>
      </c>
    </row>
    <row r="33" spans="1:2" x14ac:dyDescent="0.3">
      <c r="A33" s="13" t="s">
        <v>34</v>
      </c>
      <c r="B33" s="14">
        <f>B28</f>
        <v>8500</v>
      </c>
    </row>
    <row r="34" spans="1:2" x14ac:dyDescent="0.3">
      <c r="A34" s="13" t="s">
        <v>35</v>
      </c>
      <c r="B34" s="15">
        <f>SUM(B31:B33)</f>
        <v>436091.2</v>
      </c>
    </row>
  </sheetData>
  <mergeCells count="7">
    <mergeCell ref="A30:B30"/>
    <mergeCell ref="A1:F1"/>
    <mergeCell ref="A2:F2"/>
    <mergeCell ref="A9:E9"/>
    <mergeCell ref="A12:D12"/>
    <mergeCell ref="A22:B22"/>
    <mergeCell ref="A20:C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F906-94D0-4D38-BB69-71482984B91D}">
  <dimension ref="A1:H31"/>
  <sheetViews>
    <sheetView workbookViewId="0">
      <selection activeCell="E4" sqref="E4"/>
    </sheetView>
  </sheetViews>
  <sheetFormatPr defaultRowHeight="14.4" x14ac:dyDescent="0.3"/>
  <cols>
    <col min="1" max="1" width="39.88671875" customWidth="1"/>
    <col min="2" max="2" width="16.6640625" customWidth="1"/>
    <col min="3" max="3" width="13.5546875" customWidth="1"/>
    <col min="4" max="4" width="15.5546875" customWidth="1"/>
    <col min="5" max="5" width="20.44140625" customWidth="1"/>
    <col min="6" max="6" width="16.77734375" customWidth="1"/>
  </cols>
  <sheetData>
    <row r="1" spans="1:8" x14ac:dyDescent="0.3">
      <c r="A1" s="32" t="s">
        <v>36</v>
      </c>
      <c r="B1" s="33"/>
      <c r="C1" s="33"/>
      <c r="D1" s="33"/>
      <c r="E1" s="33"/>
      <c r="F1" s="31"/>
      <c r="G1" s="34"/>
      <c r="H1" s="35"/>
    </row>
    <row r="2" spans="1:8" x14ac:dyDescent="0.3">
      <c r="A2" s="5" t="s">
        <v>37</v>
      </c>
      <c r="B2" s="2"/>
      <c r="C2" s="2"/>
      <c r="D2" s="2"/>
      <c r="E2" s="6"/>
    </row>
    <row r="3" spans="1:8" x14ac:dyDescent="0.3">
      <c r="A3" s="5" t="s">
        <v>2</v>
      </c>
      <c r="B3" s="1" t="s">
        <v>4</v>
      </c>
      <c r="C3" s="30" t="s">
        <v>51</v>
      </c>
      <c r="D3" s="1" t="s">
        <v>38</v>
      </c>
      <c r="E3" s="1" t="s">
        <v>39</v>
      </c>
    </row>
    <row r="4" spans="1:8" x14ac:dyDescent="0.3">
      <c r="A4" s="6" t="s">
        <v>48</v>
      </c>
      <c r="B4" s="2">
        <v>38</v>
      </c>
      <c r="C4" s="3">
        <v>45</v>
      </c>
      <c r="D4" s="3">
        <v>1710</v>
      </c>
      <c r="E4" s="3">
        <f>B4*C4*12</f>
        <v>20520</v>
      </c>
    </row>
    <row r="5" spans="1:8" x14ac:dyDescent="0.3">
      <c r="A5" s="6" t="s">
        <v>52</v>
      </c>
      <c r="B5" s="2">
        <v>20</v>
      </c>
      <c r="C5" s="3">
        <v>60</v>
      </c>
      <c r="D5" s="3">
        <v>1200</v>
      </c>
      <c r="E5" s="3">
        <f>B5*C5*12</f>
        <v>14400</v>
      </c>
    </row>
    <row r="6" spans="1:8" x14ac:dyDescent="0.3">
      <c r="A6" s="6" t="s">
        <v>22</v>
      </c>
      <c r="B6" s="2">
        <v>20</v>
      </c>
      <c r="C6" s="3">
        <v>41.66</v>
      </c>
      <c r="D6" s="3">
        <v>829.03</v>
      </c>
      <c r="E6" s="3">
        <f>B6*C6*12</f>
        <v>9998.4</v>
      </c>
    </row>
    <row r="7" spans="1:8" x14ac:dyDescent="0.3">
      <c r="A7" s="6" t="s">
        <v>21</v>
      </c>
      <c r="B7" s="2">
        <v>10</v>
      </c>
      <c r="C7" s="3">
        <v>35</v>
      </c>
      <c r="D7" s="3">
        <v>350</v>
      </c>
      <c r="E7" s="3">
        <f>B7*C7*12</f>
        <v>4200</v>
      </c>
    </row>
    <row r="8" spans="1:8" x14ac:dyDescent="0.3">
      <c r="A8" s="36" t="s">
        <v>8</v>
      </c>
      <c r="B8" s="37"/>
      <c r="C8" s="37"/>
      <c r="D8" s="38"/>
      <c r="E8" s="7">
        <f>SUM(E4:E7)</f>
        <v>49118.400000000001</v>
      </c>
    </row>
    <row r="11" spans="1:8" x14ac:dyDescent="0.3">
      <c r="A11" s="28" t="s">
        <v>40</v>
      </c>
      <c r="B11" s="28"/>
      <c r="C11" s="28"/>
    </row>
    <row r="12" spans="1:8" x14ac:dyDescent="0.3">
      <c r="A12" s="5" t="s">
        <v>11</v>
      </c>
      <c r="B12" s="1" t="s">
        <v>12</v>
      </c>
      <c r="C12" s="1" t="s">
        <v>39</v>
      </c>
    </row>
    <row r="13" spans="1:8" x14ac:dyDescent="0.3">
      <c r="A13" s="6" t="s">
        <v>18</v>
      </c>
      <c r="B13" s="3">
        <v>500</v>
      </c>
      <c r="C13" s="3">
        <f>B13*12</f>
        <v>6000</v>
      </c>
    </row>
    <row r="14" spans="1:8" x14ac:dyDescent="0.3">
      <c r="A14" s="6" t="s">
        <v>17</v>
      </c>
      <c r="B14" s="3">
        <v>120</v>
      </c>
      <c r="C14" s="3">
        <f>B14*12</f>
        <v>1440</v>
      </c>
    </row>
    <row r="15" spans="1:8" x14ac:dyDescent="0.3">
      <c r="A15" s="6" t="s">
        <v>16</v>
      </c>
      <c r="B15" s="3">
        <v>350</v>
      </c>
      <c r="C15" s="3">
        <f>B15*12</f>
        <v>4200</v>
      </c>
    </row>
    <row r="16" spans="1:8" x14ac:dyDescent="0.3">
      <c r="A16" s="6" t="s">
        <v>19</v>
      </c>
      <c r="B16" s="3">
        <v>400</v>
      </c>
      <c r="C16" s="3">
        <f>B16*12</f>
        <v>4800</v>
      </c>
    </row>
    <row r="17" spans="1:3" x14ac:dyDescent="0.3">
      <c r="A17" s="27" t="s">
        <v>41</v>
      </c>
      <c r="B17" s="27"/>
      <c r="C17" s="7">
        <f>SUM(C13:C16)</f>
        <v>16440</v>
      </c>
    </row>
    <row r="19" spans="1:3" x14ac:dyDescent="0.3">
      <c r="A19" s="29" t="s">
        <v>42</v>
      </c>
      <c r="B19" s="29"/>
      <c r="C19" s="29"/>
    </row>
    <row r="20" spans="1:3" x14ac:dyDescent="0.3">
      <c r="A20" s="5" t="s">
        <v>11</v>
      </c>
      <c r="B20" s="1" t="s">
        <v>12</v>
      </c>
      <c r="C20" s="1" t="s">
        <v>39</v>
      </c>
    </row>
    <row r="21" spans="1:3" x14ac:dyDescent="0.3">
      <c r="A21" s="6" t="s">
        <v>24</v>
      </c>
      <c r="B21" s="3">
        <v>195</v>
      </c>
      <c r="C21" s="3">
        <f>B21*12</f>
        <v>2340</v>
      </c>
    </row>
    <row r="22" spans="1:3" x14ac:dyDescent="0.3">
      <c r="A22" s="6" t="s">
        <v>27</v>
      </c>
      <c r="B22" s="3">
        <v>500</v>
      </c>
      <c r="C22" s="3">
        <f>B22*12</f>
        <v>6000</v>
      </c>
    </row>
    <row r="23" spans="1:3" x14ac:dyDescent="0.3">
      <c r="A23" s="6" t="s">
        <v>43</v>
      </c>
      <c r="B23" s="3">
        <v>500</v>
      </c>
      <c r="C23" s="3">
        <f>B23*12</f>
        <v>6000</v>
      </c>
    </row>
    <row r="24" spans="1:3" x14ac:dyDescent="0.3">
      <c r="A24" s="27" t="s">
        <v>41</v>
      </c>
      <c r="B24" s="27"/>
      <c r="C24" s="7">
        <f>SUM(C21:C23)</f>
        <v>14340</v>
      </c>
    </row>
    <row r="27" spans="1:3" x14ac:dyDescent="0.3">
      <c r="A27" s="25" t="s">
        <v>44</v>
      </c>
      <c r="B27" s="26"/>
    </row>
    <row r="28" spans="1:3" x14ac:dyDescent="0.3">
      <c r="A28" s="9" t="s">
        <v>45</v>
      </c>
      <c r="B28" s="10">
        <f>E8</f>
        <v>49118.400000000001</v>
      </c>
    </row>
    <row r="29" spans="1:3" x14ac:dyDescent="0.3">
      <c r="A29" s="9" t="s">
        <v>46</v>
      </c>
      <c r="B29" s="10">
        <f>C17</f>
        <v>16440</v>
      </c>
    </row>
    <row r="30" spans="1:3" x14ac:dyDescent="0.3">
      <c r="A30" s="9" t="s">
        <v>47</v>
      </c>
      <c r="B30" s="10">
        <f>C24</f>
        <v>14340</v>
      </c>
    </row>
    <row r="31" spans="1:3" x14ac:dyDescent="0.3">
      <c r="A31" s="9" t="s">
        <v>35</v>
      </c>
      <c r="B31" s="10">
        <f>SUM(B28:B30)</f>
        <v>79898.399999999994</v>
      </c>
    </row>
  </sheetData>
  <mergeCells count="7">
    <mergeCell ref="A1:E1"/>
    <mergeCell ref="A8:D8"/>
    <mergeCell ref="A27:B27"/>
    <mergeCell ref="A11:C11"/>
    <mergeCell ref="A17:B17"/>
    <mergeCell ref="A19:C19"/>
    <mergeCell ref="A24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 de projeto completo </vt:lpstr>
      <vt:lpstr>Custo de manutenção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2026-02-06T13:15:45Z</dcterms:created>
  <dcterms:modified xsi:type="dcterms:W3CDTF">2026-02-13T11:21:37Z</dcterms:modified>
</cp:coreProperties>
</file>